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ha\PROJECTS\ASSIGNMENT1\"/>
    </mc:Choice>
  </mc:AlternateContent>
  <xr:revisionPtr revIDLastSave="0" documentId="13_ncr:1_{5A7B750B-92F5-4CEC-8DAE-5290D96015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31" i="1" l="1"/>
  <c r="N8" i="1"/>
  <c r="B2" i="1"/>
  <c r="C2" i="1"/>
  <c r="D2" i="1"/>
  <c r="J2" i="1"/>
  <c r="N10" i="1"/>
  <c r="N25" i="1"/>
  <c r="N30" i="1"/>
  <c r="N29" i="1"/>
  <c r="N19" i="1"/>
  <c r="N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3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N24" i="1"/>
  <c r="J3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" i="1"/>
  <c r="J4" i="1"/>
  <c r="J5" i="1"/>
  <c r="J6" i="1"/>
  <c r="N9" i="1"/>
  <c r="N14" i="1"/>
  <c r="N15" i="1"/>
</calcChain>
</file>

<file path=xl/sharedStrings.xml><?xml version="1.0" encoding="utf-8"?>
<sst xmlns="http://schemas.openxmlformats.org/spreadsheetml/2006/main" count="191" uniqueCount="129">
  <si>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</si>
  <si>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</si>
  <si>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</si>
  <si>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</si>
  <si>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</si>
  <si>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</si>
  <si>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</si>
  <si>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</si>
  <si>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</si>
  <si>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</si>
  <si>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</si>
  <si>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</si>
  <si>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</si>
  <si>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</si>
  <si>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</si>
  <si>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</si>
  <si>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</si>
  <si>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</si>
  <si>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</si>
  <si>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</si>
  <si>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</si>
  <si>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</si>
  <si>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</si>
  <si>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</si>
  <si>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</si>
  <si>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</si>
  <si>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</si>
  <si>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</si>
  <si>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</si>
  <si>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</si>
  <si>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</si>
  <si>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</si>
  <si>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</si>
  <si>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</si>
  <si>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</si>
  <si>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</si>
  <si>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</si>
  <si>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</si>
  <si>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</si>
  <si>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</si>
  <si>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</si>
  <si>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</si>
  <si>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</si>
  <si>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</si>
  <si>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</si>
  <si>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</si>
  <si>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</si>
  <si>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</si>
  <si>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</si>
  <si>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</si>
  <si>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</si>
  <si>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</si>
  <si>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</si>
  <si>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</si>
  <si>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</si>
  <si>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</si>
  <si>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</si>
  <si>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</si>
  <si>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</si>
  <si>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</si>
  <si>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</si>
  <si>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</si>
  <si>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</si>
  <si>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</si>
  <si>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</si>
  <si>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</si>
  <si>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</si>
  <si>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</si>
  <si>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</si>
  <si>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</si>
  <si>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</si>
  <si>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</si>
  <si>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</si>
  <si>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</si>
  <si>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</si>
  <si>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</si>
  <si>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</si>
  <si>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</si>
  <si>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</si>
  <si>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</si>
  <si>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</si>
  <si>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</si>
  <si>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</si>
  <si>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</si>
  <si>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</si>
  <si>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</si>
  <si>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</si>
  <si>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</si>
  <si>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</si>
  <si>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</si>
  <si>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</si>
  <si>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</si>
  <si>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</si>
  <si>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</si>
  <si>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SUM()</t>
  </si>
  <si>
    <t>AVERAGE()</t>
  </si>
  <si>
    <t>COUNTA()</t>
  </si>
  <si>
    <t>2. Minimum and Maximum Values</t>
  </si>
  <si>
    <t>MIN()</t>
  </si>
  <si>
    <t>MAX()</t>
  </si>
  <si>
    <t xml:space="preserve">3. Logical Function – IF </t>
  </si>
  <si>
    <t>Price Range</t>
  </si>
  <si>
    <t>IF()</t>
  </si>
  <si>
    <t>Total price of all products</t>
  </si>
  <si>
    <t>Count total products</t>
  </si>
  <si>
    <t>Function</t>
  </si>
  <si>
    <t>Purpose</t>
  </si>
  <si>
    <t>Result</t>
  </si>
  <si>
    <t>Minimum price among all products</t>
  </si>
  <si>
    <t>Maximum price among all products</t>
  </si>
  <si>
    <t>Average product price</t>
  </si>
  <si>
    <t xml:space="preserve">4.Conditional Functions – SUMIF and COUNTIF </t>
  </si>
  <si>
    <t>SUMIF()</t>
  </si>
  <si>
    <t>COUNTIF()</t>
  </si>
  <si>
    <t>Total price of products in the Electronics category</t>
  </si>
  <si>
    <t xml:space="preserve">Number of products with a price less than $100.  </t>
  </si>
  <si>
    <t>5. Text Formatting – LEFT, RIGHT, MID</t>
  </si>
  <si>
    <t>LEFT()</t>
  </si>
  <si>
    <t>RIGHT()</t>
  </si>
  <si>
    <t>MID()</t>
  </si>
  <si>
    <t>Country Code</t>
  </si>
  <si>
    <t>Day</t>
  </si>
  <si>
    <t>Month</t>
  </si>
  <si>
    <t>QUESTIONS &amp; ANSWERS</t>
  </si>
  <si>
    <t>Create Day column using LEFT</t>
  </si>
  <si>
    <t>Create Country Code column using RIGHT</t>
  </si>
  <si>
    <t>Create Month column using MID</t>
  </si>
  <si>
    <t>Classify products as High Price based on price value</t>
  </si>
  <si>
    <t>Classify products as Standard Price based on price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</si>
</sst>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 [$₹-4009]\ * #,##0_ ;_ [$₹-4009]\ * \-#,##0_ ;_ [$₹-4009]\ * &quot;-&quot;??_ ;_ @_ 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rgb="FFE0F7FA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4" borderId="0" xfId="0" applyFont="1" applyFill="1"/>
    <xf numFmtId="0" fontId="2" fillId="0" borderId="0" xfId="0" applyFont="1"/>
    <xf numFmtId="0" fontId="3" fillId="0" borderId="1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6" xfId="0" applyBorder="1"/>
    <xf numFmtId="0" fontId="0" fillId="0" borderId="3" xfId="0" applyBorder="1"/>
    <xf numFmtId="0" fontId="2" fillId="5" borderId="1" xfId="0" applyFont="1" applyFill="1" applyBorder="1"/>
    <xf numFmtId="0" fontId="3" fillId="0" borderId="7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6" borderId="1" xfId="0" applyFont="1" applyFill="1" applyBorder="1"/>
    <xf numFmtId="0" fontId="2" fillId="3" borderId="1" xfId="0" applyFont="1" applyFill="1" applyBorder="1"/>
    <xf numFmtId="0" fontId="7" fillId="0" borderId="0" xfId="0" applyFont="1"/>
    <xf numFmtId="0" fontId="5" fillId="8" borderId="9" xfId="0" applyFont="1" applyFill="1" applyBorder="1"/>
    <xf numFmtId="0" fontId="5" fillId="8" borderId="10" xfId="0" applyFont="1" applyFill="1" applyBorder="1"/>
    <xf numFmtId="0" fontId="5" fillId="8" borderId="11" xfId="0" applyFont="1" applyFill="1" applyBorder="1"/>
    <xf numFmtId="0" fontId="3" fillId="0" borderId="13" xfId="0" applyFont="1" applyBorder="1"/>
    <xf numFmtId="0" fontId="8" fillId="0" borderId="0" xfId="0" applyFont="1"/>
    <xf numFmtId="164" fontId="3" fillId="0" borderId="5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horizontal="left"/>
    </xf>
    <xf numFmtId="0" fontId="0" fillId="0" borderId="12" xfId="0" applyBorder="1" applyAlignment="1">
      <alignment horizontal="left"/>
    </xf>
    <xf numFmtId="0" fontId="8" fillId="7" borderId="14" xfId="0" applyFont="1" applyFill="1" applyBorder="1"/>
    <xf numFmtId="0" fontId="4" fillId="7" borderId="15" xfId="0" applyFont="1" applyFill="1" applyBorder="1"/>
    <xf numFmtId="0" fontId="0" fillId="7" borderId="16" xfId="0" applyFill="1" applyBorder="1"/>
    <xf numFmtId="0" fontId="0" fillId="7" borderId="15" xfId="0" applyFill="1" applyBorder="1"/>
    <xf numFmtId="0" fontId="0" fillId="0" borderId="0" xfId="0" applyAlignment="1">
      <alignment horizontal="left"/>
    </xf>
    <xf numFmtId="0" fontId="0" fillId="7" borderId="16" xfId="0" applyFill="1" applyBorder="1" applyAlignment="1">
      <alignment horizontal="left"/>
    </xf>
    <xf numFmtId="0" fontId="5" fillId="8" borderId="11" xfId="0" applyFont="1" applyFill="1" applyBorder="1" applyAlignment="1">
      <alignment horizontal="left"/>
    </xf>
    <xf numFmtId="3" fontId="3" fillId="0" borderId="8" xfId="0" applyNumberFormat="1" applyFont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3" fillId="0" borderId="5" xfId="1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3" fontId="0" fillId="7" borderId="16" xfId="0" applyNumberFormat="1" applyFill="1" applyBorder="1" applyAlignment="1">
      <alignment horizontal="left"/>
    </xf>
    <xf numFmtId="3" fontId="5" fillId="8" borderId="11" xfId="0" applyNumberFormat="1" applyFont="1" applyFill="1" applyBorder="1" applyAlignment="1">
      <alignment horizontal="left"/>
    </xf>
    <xf numFmtId="3" fontId="3" fillId="0" borderId="5" xfId="0" applyNumberFormat="1" applyFont="1" applyBorder="1" applyAlignment="1">
      <alignment horizontal="left"/>
    </xf>
    <xf numFmtId="0" fontId="10" fillId="2" borderId="1" xfId="0" applyFont="1" applyFill="1" applyBorder="1"/>
    <xf numFmtId="0" fontId="10" fillId="0" borderId="0" xfId="0" applyFont="1"/>
  </cellXfs>
  <cellStyles count="2">
    <cellStyle name="Currency" xfId="1" builtinId="4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E0F7FA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07091-CDFA-468D-B287-B30A06440538}" name="Table1" displayName="Table1" ref="A1:J35" totalsRowShown="0" headerRowDxfId="13" dataDxfId="11" headerRowBorderDxfId="12" tableBorderDxfId="10">
  <autoFilter ref="A1:J35" xr:uid="{71207091-CDFA-468D-B287-B30A06440538}"/>
  <tableColumns count="10">
    <tableColumn id="1" xr3:uid="{1A38BFE4-0108-4BC6-A851-F258349A2C02}" name="Product ID" dataDxfId="9"/>
    <tableColumn id="14" xr3:uid="{19626251-329C-4CB4-B727-9AA7A0B9B1F7}" name="Day" dataDxfId="8">
      <calculatedColumnFormula>LEFT(A2,2)</calculatedColumnFormula>
    </tableColumn>
    <tableColumn id="13" xr3:uid="{67DFD6E6-C1E5-4AD5-883D-D6B6DD0AAA0B}" name="Country Code" dataDxfId="7">
      <calculatedColumnFormula>RIGHT(A2,2)</calculatedColumnFormula>
    </tableColumn>
    <tableColumn id="16" xr3:uid="{883A7B1B-BEE5-45DD-AA0D-BE1F02AD70EC}" name="Month" dataDxfId="6">
      <calculatedColumnFormula>MID(A2,4,3)</calculatedColumnFormula>
    </tableColumn>
    <tableColumn id="2" xr3:uid="{2079CA20-56D8-401B-A0A0-E05B520FF20F}" name="Product Name" dataDxfId="5"/>
    <tableColumn id="3" xr3:uid="{8E0D4F99-829D-4E8D-8EEA-19DF629AAD6B}" name="Brand Name" dataDxfId="4"/>
    <tableColumn id="4" xr3:uid="{BBA8DED9-D48B-48DD-B94A-9EC02262E6EB}" name="Price ($)" dataDxfId="3"/>
    <tableColumn id="5" xr3:uid="{D8A16DB1-42E3-4094-9316-788EC0F1236D}" name="Quantity" dataDxfId="2"/>
    <tableColumn id="6" xr3:uid="{B04B7501-91CC-4C0A-B6BF-D30F0E0C2FFB}" name="Category" dataDxfId="1"/>
    <tableColumn id="10" xr3:uid="{2EF2DB38-E88F-477A-9D83-FA36159D9BAC}" name="Price Range" dataDxfId="0">
      <calculatedColumnFormula>IF(G2&gt;=500,"High price","Standard price")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zoomScale="55" zoomScaleNormal="55" workbookViewId="0">
      <selection activeCell="N32" sqref="N32"/>
    </sheetView>
  </sheetViews>
  <sheetFormatPr defaultColWidth="12.6640625" defaultRowHeight="15" customHeight="1" x14ac:dyDescent="0.25"/>
  <cols>
    <col min="1" max="1" width="19.109375" bestFit="1" customWidth="1"/>
    <col min="2" max="2" width="10" customWidth="1"/>
    <col min="3" max="3" width="22.88671875" bestFit="1" customWidth="1"/>
    <col min="4" max="4" width="13.109375" bestFit="1" customWidth="1"/>
    <col min="5" max="5" width="23.5546875" bestFit="1" customWidth="1"/>
    <col min="6" max="6" width="21.109375" bestFit="1" customWidth="1"/>
    <col min="7" max="7" width="16.44140625" bestFit="1" customWidth="1"/>
    <col min="8" max="8" width="16.21875" bestFit="1" customWidth="1"/>
    <col min="9" max="9" width="16.6640625" bestFit="1" customWidth="1"/>
    <col min="10" max="10" width="21.109375" bestFit="1" customWidth="1"/>
    <col min="13" max="13" width="52.21875" bestFit="1" customWidth="1"/>
    <col min="14" max="14" width="13.88671875" bestFit="1" customWidth="1"/>
  </cols>
  <sheetData>
    <row r="1" spans="1:14" s="22" customFormat="1" ht="16.2" customHeight="1" x14ac:dyDescent="0.3">
      <c r="A1" s="40" t="s">
        <v>0</v>
      </c>
      <c r="B1" s="40" t="s">
        <v>121</v>
      </c>
      <c r="C1" s="40" t="s">
        <v>120</v>
      </c>
      <c r="D1" s="40" t="s">
        <v>122</v>
      </c>
      <c r="E1" s="40" t="s">
        <v>1</v>
      </c>
      <c r="F1" s="40" t="s">
        <v>2</v>
      </c>
      <c r="G1" s="40" t="s">
        <v>3</v>
      </c>
      <c r="H1" s="40" t="s">
        <v>4</v>
      </c>
      <c r="I1" s="40" t="s">
        <v>5</v>
      </c>
      <c r="J1" s="40" t="s">
        <v>101</v>
      </c>
      <c r="K1" s="41"/>
    </row>
    <row r="2" spans="1:14" ht="15" customHeight="1" x14ac:dyDescent="0.25">
      <c r="A2" s="12" t="s">
        <v>6</v>
      </c>
      <c r="B2" s="12" t="str">
        <f>LEFT(A2,2)</f>
        <v>28</v>
      </c>
      <c r="C2" s="12" t="str">
        <f t="shared" ref="C2:C35" si="0">RIGHT(A2,2)</f>
        <v>US</v>
      </c>
      <c r="D2" s="12" t="str">
        <f>MID(A2,4,3)</f>
        <v>JAN</v>
      </c>
      <c r="E2" s="12" t="s">
        <v>7</v>
      </c>
      <c r="F2" s="12" t="s">
        <v>8</v>
      </c>
      <c r="G2" s="12">
        <v>1000</v>
      </c>
      <c r="H2" s="12">
        <v>30</v>
      </c>
      <c r="I2" s="12" t="s">
        <v>9</v>
      </c>
      <c r="J2" s="15" t="str">
        <f>IF(G2&gt;=500,"High price","Standard price")</f>
        <v>High price</v>
      </c>
    </row>
    <row r="3" spans="1:14" ht="15.75" customHeight="1" x14ac:dyDescent="0.3">
      <c r="A3" s="16" t="s">
        <v>10</v>
      </c>
      <c r="B3" s="12" t="str">
        <f t="shared" ref="B3:B35" si="1">LEFT(A3,2)</f>
        <v>15</v>
      </c>
      <c r="C3" s="12" t="str">
        <f t="shared" si="0"/>
        <v>US</v>
      </c>
      <c r="D3" s="12" t="str">
        <f t="shared" ref="D3:D35" si="2">MID(A3,4,3)</f>
        <v>FEB</v>
      </c>
      <c r="E3" s="16" t="s">
        <v>11</v>
      </c>
      <c r="F3" s="16" t="s">
        <v>12</v>
      </c>
      <c r="G3" s="16">
        <v>80</v>
      </c>
      <c r="H3" s="16">
        <v>15</v>
      </c>
      <c r="I3" s="16" t="s">
        <v>13</v>
      </c>
      <c r="J3" s="16" t="str">
        <f t="shared" ref="J3:J35" si="3">IF(G3&gt;=500,"High price","Standard price")</f>
        <v>Standard price</v>
      </c>
      <c r="K3" s="1"/>
      <c r="L3" s="22" t="s">
        <v>123</v>
      </c>
      <c r="M3" s="22"/>
      <c r="N3" s="17"/>
    </row>
    <row r="4" spans="1:14" ht="15.75" customHeight="1" x14ac:dyDescent="0.25">
      <c r="A4" s="12" t="s">
        <v>14</v>
      </c>
      <c r="B4" s="12" t="str">
        <f t="shared" si="1"/>
        <v>03</v>
      </c>
      <c r="C4" s="12" t="str">
        <f t="shared" si="0"/>
        <v>US</v>
      </c>
      <c r="D4" s="12" t="str">
        <f t="shared" si="2"/>
        <v>MAR</v>
      </c>
      <c r="E4" s="12" t="s">
        <v>15</v>
      </c>
      <c r="F4" s="12" t="s">
        <v>16</v>
      </c>
      <c r="G4" s="12">
        <v>130</v>
      </c>
      <c r="H4" s="12">
        <v>40</v>
      </c>
      <c r="I4" s="12" t="s">
        <v>17</v>
      </c>
      <c r="J4" s="15" t="str">
        <f t="shared" si="3"/>
        <v>Standard price</v>
      </c>
      <c r="K4" s="1"/>
    </row>
    <row r="5" spans="1:14" ht="15.75" customHeight="1" thickBot="1" x14ac:dyDescent="0.3">
      <c r="A5" s="16" t="s">
        <v>18</v>
      </c>
      <c r="B5" s="12" t="str">
        <f t="shared" si="1"/>
        <v>11</v>
      </c>
      <c r="C5" s="12" t="str">
        <f t="shared" si="0"/>
        <v>US</v>
      </c>
      <c r="D5" s="12" t="str">
        <f t="shared" si="2"/>
        <v>APR</v>
      </c>
      <c r="E5" s="16" t="s">
        <v>19</v>
      </c>
      <c r="F5" s="16" t="s">
        <v>20</v>
      </c>
      <c r="G5" s="16">
        <v>900</v>
      </c>
      <c r="H5" s="16">
        <v>25</v>
      </c>
      <c r="I5" s="16" t="s">
        <v>9</v>
      </c>
      <c r="J5" s="16" t="str">
        <f t="shared" si="3"/>
        <v>High price</v>
      </c>
      <c r="K5" s="3"/>
    </row>
    <row r="6" spans="1:14" ht="15.75" customHeight="1" thickBot="1" x14ac:dyDescent="0.35">
      <c r="A6" s="12" t="s">
        <v>21</v>
      </c>
      <c r="B6" s="12" t="str">
        <f t="shared" si="1"/>
        <v>22</v>
      </c>
      <c r="C6" s="12" t="str">
        <f t="shared" si="0"/>
        <v>US</v>
      </c>
      <c r="D6" s="12" t="str">
        <f t="shared" si="2"/>
        <v>MAY</v>
      </c>
      <c r="E6" s="12" t="s">
        <v>22</v>
      </c>
      <c r="F6" s="12" t="s">
        <v>23</v>
      </c>
      <c r="G6" s="12">
        <v>70</v>
      </c>
      <c r="H6" s="12">
        <v>20</v>
      </c>
      <c r="I6" s="12" t="s">
        <v>24</v>
      </c>
      <c r="J6" s="15" t="str">
        <f t="shared" si="3"/>
        <v>Standard price</v>
      </c>
      <c r="K6" s="1"/>
      <c r="L6" s="26" t="s">
        <v>93</v>
      </c>
      <c r="M6" s="27"/>
      <c r="N6" s="28"/>
    </row>
    <row r="7" spans="1:14" ht="15.75" customHeight="1" thickBot="1" x14ac:dyDescent="0.3">
      <c r="A7" s="16" t="s">
        <v>25</v>
      </c>
      <c r="B7" s="12" t="str">
        <f t="shared" si="1"/>
        <v>07</v>
      </c>
      <c r="C7" s="12" t="str">
        <f t="shared" si="0"/>
        <v>UK</v>
      </c>
      <c r="D7" s="12" t="str">
        <f t="shared" si="2"/>
        <v>JUN</v>
      </c>
      <c r="E7" s="16" t="s">
        <v>26</v>
      </c>
      <c r="F7" s="16" t="s">
        <v>27</v>
      </c>
      <c r="G7" s="16">
        <v>200</v>
      </c>
      <c r="H7" s="16">
        <v>45</v>
      </c>
      <c r="I7" s="16" t="s">
        <v>9</v>
      </c>
      <c r="J7" s="16" t="str">
        <f t="shared" si="3"/>
        <v>Standard price</v>
      </c>
      <c r="K7" s="1"/>
      <c r="L7" s="18" t="s">
        <v>105</v>
      </c>
      <c r="M7" s="19" t="s">
        <v>106</v>
      </c>
      <c r="N7" s="20" t="s">
        <v>107</v>
      </c>
    </row>
    <row r="8" spans="1:14" ht="13.2" x14ac:dyDescent="0.25">
      <c r="A8" s="12" t="s">
        <v>28</v>
      </c>
      <c r="B8" s="12" t="str">
        <f t="shared" si="1"/>
        <v>19</v>
      </c>
      <c r="C8" s="12" t="str">
        <f t="shared" si="0"/>
        <v>UK</v>
      </c>
      <c r="D8" s="12" t="str">
        <f t="shared" si="2"/>
        <v>JUL</v>
      </c>
      <c r="E8" s="12" t="s">
        <v>29</v>
      </c>
      <c r="F8" s="12" t="s">
        <v>30</v>
      </c>
      <c r="G8" s="12">
        <v>30</v>
      </c>
      <c r="H8" s="12">
        <v>5</v>
      </c>
      <c r="I8" s="12" t="s">
        <v>13</v>
      </c>
      <c r="J8" s="15" t="str">
        <f t="shared" si="3"/>
        <v>Standard price</v>
      </c>
      <c r="K8" s="1"/>
      <c r="L8" s="7" t="s">
        <v>94</v>
      </c>
      <c r="M8" s="6" t="s">
        <v>103</v>
      </c>
      <c r="N8" s="33">
        <f>SUM(G2:G35)</f>
        <v>10100</v>
      </c>
    </row>
    <row r="9" spans="1:14" ht="15.75" customHeight="1" x14ac:dyDescent="0.25">
      <c r="A9" s="16" t="s">
        <v>31</v>
      </c>
      <c r="B9" s="12" t="str">
        <f t="shared" si="1"/>
        <v>23</v>
      </c>
      <c r="C9" s="12" t="str">
        <f t="shared" si="0"/>
        <v>UK</v>
      </c>
      <c r="D9" s="12" t="str">
        <f t="shared" si="2"/>
        <v>AUG</v>
      </c>
      <c r="E9" s="16" t="s">
        <v>32</v>
      </c>
      <c r="F9" s="16" t="s">
        <v>33</v>
      </c>
      <c r="G9" s="16">
        <v>90</v>
      </c>
      <c r="H9" s="16">
        <v>35</v>
      </c>
      <c r="I9" s="16" t="s">
        <v>17</v>
      </c>
      <c r="J9" s="16" t="str">
        <f t="shared" si="3"/>
        <v>Standard price</v>
      </c>
      <c r="K9" s="1"/>
      <c r="L9" s="8" t="s">
        <v>96</v>
      </c>
      <c r="M9" s="4" t="s">
        <v>104</v>
      </c>
      <c r="N9" s="34">
        <f>COUNTA(E2:E35)</f>
        <v>34</v>
      </c>
    </row>
    <row r="10" spans="1:14" ht="15.75" customHeight="1" thickBot="1" x14ac:dyDescent="0.3">
      <c r="A10" s="12" t="s">
        <v>34</v>
      </c>
      <c r="B10" s="12" t="str">
        <f t="shared" si="1"/>
        <v>05</v>
      </c>
      <c r="C10" s="12" t="str">
        <f t="shared" si="0"/>
        <v>UK</v>
      </c>
      <c r="D10" s="12" t="str">
        <f t="shared" si="2"/>
        <v>SEP</v>
      </c>
      <c r="E10" s="12" t="s">
        <v>35</v>
      </c>
      <c r="F10" s="12" t="s">
        <v>36</v>
      </c>
      <c r="G10" s="12">
        <v>500</v>
      </c>
      <c r="H10" s="12">
        <v>50</v>
      </c>
      <c r="I10" s="12" t="s">
        <v>9</v>
      </c>
      <c r="J10" s="15" t="str">
        <f t="shared" si="3"/>
        <v>High price</v>
      </c>
      <c r="K10" s="1"/>
      <c r="L10" s="9" t="s">
        <v>95</v>
      </c>
      <c r="M10" s="5" t="s">
        <v>110</v>
      </c>
      <c r="N10" s="35">
        <f>AVERAGE(G2:G35)</f>
        <v>297.05882352941177</v>
      </c>
    </row>
    <row r="11" spans="1:14" ht="15.75" customHeight="1" thickBot="1" x14ac:dyDescent="0.3">
      <c r="A11" s="16" t="s">
        <v>37</v>
      </c>
      <c r="B11" s="12" t="str">
        <f t="shared" si="1"/>
        <v>14</v>
      </c>
      <c r="C11" s="12" t="str">
        <f t="shared" si="0"/>
        <v>UK</v>
      </c>
      <c r="D11" s="12" t="str">
        <f t="shared" si="2"/>
        <v>OCT</v>
      </c>
      <c r="E11" s="16" t="s">
        <v>38</v>
      </c>
      <c r="F11" s="16" t="s">
        <v>39</v>
      </c>
      <c r="G11" s="16">
        <v>130</v>
      </c>
      <c r="H11" s="16">
        <v>10</v>
      </c>
      <c r="I11" s="16" t="s">
        <v>24</v>
      </c>
      <c r="J11" s="16" t="str">
        <f t="shared" si="3"/>
        <v>Standard price</v>
      </c>
      <c r="K11" s="1"/>
      <c r="N11" s="36"/>
    </row>
    <row r="12" spans="1:14" ht="15.75" customHeight="1" thickBot="1" x14ac:dyDescent="0.35">
      <c r="A12" s="12" t="s">
        <v>40</v>
      </c>
      <c r="B12" s="12" t="str">
        <f t="shared" si="1"/>
        <v>17</v>
      </c>
      <c r="C12" s="12" t="str">
        <f t="shared" si="0"/>
        <v>IN</v>
      </c>
      <c r="D12" s="12" t="str">
        <f t="shared" si="2"/>
        <v>JUN</v>
      </c>
      <c r="E12" s="12" t="s">
        <v>7</v>
      </c>
      <c r="F12" s="12" t="s">
        <v>41</v>
      </c>
      <c r="G12" s="12">
        <v>950</v>
      </c>
      <c r="H12" s="12">
        <v>25</v>
      </c>
      <c r="I12" s="12" t="s">
        <v>9</v>
      </c>
      <c r="J12" s="15" t="str">
        <f t="shared" si="3"/>
        <v>High price</v>
      </c>
      <c r="K12" s="1"/>
      <c r="L12" s="26" t="s">
        <v>97</v>
      </c>
      <c r="M12" s="29"/>
      <c r="N12" s="37"/>
    </row>
    <row r="13" spans="1:14" ht="15.75" customHeight="1" thickBot="1" x14ac:dyDescent="0.3">
      <c r="A13" s="16" t="s">
        <v>42</v>
      </c>
      <c r="B13" s="12" t="str">
        <f t="shared" si="1"/>
        <v>25</v>
      </c>
      <c r="C13" s="12" t="str">
        <f t="shared" si="0"/>
        <v>AU</v>
      </c>
      <c r="D13" s="12" t="str">
        <f t="shared" si="2"/>
        <v>NOV</v>
      </c>
      <c r="E13" s="16" t="s">
        <v>11</v>
      </c>
      <c r="F13" s="16" t="s">
        <v>30</v>
      </c>
      <c r="G13" s="16">
        <v>90</v>
      </c>
      <c r="H13" s="16">
        <v>40</v>
      </c>
      <c r="I13" s="16" t="s">
        <v>13</v>
      </c>
      <c r="J13" s="16" t="str">
        <f t="shared" si="3"/>
        <v>Standard price</v>
      </c>
      <c r="K13" s="1"/>
      <c r="L13" s="18" t="s">
        <v>105</v>
      </c>
      <c r="M13" s="19" t="s">
        <v>106</v>
      </c>
      <c r="N13" s="38" t="s">
        <v>107</v>
      </c>
    </row>
    <row r="14" spans="1:14" ht="15.75" customHeight="1" x14ac:dyDescent="0.25">
      <c r="A14" s="12" t="s">
        <v>43</v>
      </c>
      <c r="B14" s="12" t="str">
        <f t="shared" si="1"/>
        <v>08</v>
      </c>
      <c r="C14" s="12" t="str">
        <f t="shared" si="0"/>
        <v>DE</v>
      </c>
      <c r="D14" s="12" t="str">
        <f t="shared" si="2"/>
        <v>DEC</v>
      </c>
      <c r="E14" s="12" t="s">
        <v>15</v>
      </c>
      <c r="F14" s="12" t="s">
        <v>44</v>
      </c>
      <c r="G14" s="12">
        <v>120</v>
      </c>
      <c r="H14" s="12">
        <v>35</v>
      </c>
      <c r="I14" s="12" t="s">
        <v>17</v>
      </c>
      <c r="J14" s="15" t="str">
        <f t="shared" si="3"/>
        <v>Standard price</v>
      </c>
      <c r="K14" s="1"/>
      <c r="L14" s="10" t="s">
        <v>98</v>
      </c>
      <c r="M14" s="6" t="s">
        <v>108</v>
      </c>
      <c r="N14" s="33">
        <f>MIN(G2:G35)</f>
        <v>30</v>
      </c>
    </row>
    <row r="15" spans="1:14" ht="15.75" customHeight="1" thickBot="1" x14ac:dyDescent="0.3">
      <c r="A15" s="16" t="s">
        <v>45</v>
      </c>
      <c r="B15" s="12" t="str">
        <f t="shared" si="1"/>
        <v>18</v>
      </c>
      <c r="C15" s="12" t="str">
        <f t="shared" si="0"/>
        <v>CA</v>
      </c>
      <c r="D15" s="12" t="str">
        <f t="shared" si="2"/>
        <v>FEB</v>
      </c>
      <c r="E15" s="16" t="s">
        <v>46</v>
      </c>
      <c r="F15" s="16" t="s">
        <v>47</v>
      </c>
      <c r="G15" s="16">
        <v>150</v>
      </c>
      <c r="H15" s="16">
        <v>15</v>
      </c>
      <c r="I15" s="16" t="s">
        <v>9</v>
      </c>
      <c r="J15" s="16" t="str">
        <f t="shared" si="3"/>
        <v>Standard price</v>
      </c>
      <c r="K15" s="1"/>
      <c r="L15" s="11" t="s">
        <v>99</v>
      </c>
      <c r="M15" s="5" t="s">
        <v>109</v>
      </c>
      <c r="N15" s="35">
        <f>MAX(G2:G35)</f>
        <v>1000</v>
      </c>
    </row>
    <row r="16" spans="1:14" ht="15.75" customHeight="1" thickBot="1" x14ac:dyDescent="0.3">
      <c r="A16" s="12" t="s">
        <v>48</v>
      </c>
      <c r="B16" s="12" t="str">
        <f t="shared" si="1"/>
        <v>16</v>
      </c>
      <c r="C16" s="12" t="str">
        <f t="shared" si="0"/>
        <v>ES</v>
      </c>
      <c r="D16" s="12" t="str">
        <f t="shared" si="2"/>
        <v>APR</v>
      </c>
      <c r="E16" s="12" t="s">
        <v>26</v>
      </c>
      <c r="F16" s="12" t="s">
        <v>49</v>
      </c>
      <c r="G16" s="12">
        <v>250</v>
      </c>
      <c r="H16" s="12">
        <v>20</v>
      </c>
      <c r="I16" s="12" t="s">
        <v>9</v>
      </c>
      <c r="J16" s="15" t="str">
        <f t="shared" si="3"/>
        <v>Standard price</v>
      </c>
      <c r="K16" s="1"/>
      <c r="N16" s="36"/>
    </row>
    <row r="17" spans="1:14" ht="15.75" customHeight="1" thickBot="1" x14ac:dyDescent="0.35">
      <c r="A17" s="16" t="s">
        <v>50</v>
      </c>
      <c r="B17" s="12" t="str">
        <f t="shared" si="1"/>
        <v>21</v>
      </c>
      <c r="C17" s="12" t="str">
        <f t="shared" si="0"/>
        <v>CA</v>
      </c>
      <c r="D17" s="12" t="str">
        <f t="shared" si="2"/>
        <v>AUG</v>
      </c>
      <c r="E17" s="16" t="s">
        <v>51</v>
      </c>
      <c r="F17" s="16" t="s">
        <v>52</v>
      </c>
      <c r="G17" s="16">
        <v>50</v>
      </c>
      <c r="H17" s="16">
        <v>35</v>
      </c>
      <c r="I17" s="16" t="s">
        <v>53</v>
      </c>
      <c r="J17" s="16" t="str">
        <f t="shared" si="3"/>
        <v>Standard price</v>
      </c>
      <c r="K17" s="1"/>
      <c r="L17" s="26" t="s">
        <v>100</v>
      </c>
      <c r="M17" s="29"/>
      <c r="N17" s="37"/>
    </row>
    <row r="18" spans="1:14" ht="15.75" customHeight="1" thickBot="1" x14ac:dyDescent="0.3">
      <c r="A18" s="12" t="s">
        <v>54</v>
      </c>
      <c r="B18" s="12" t="str">
        <f t="shared" si="1"/>
        <v>20</v>
      </c>
      <c r="C18" s="12" t="str">
        <f t="shared" si="0"/>
        <v>CN</v>
      </c>
      <c r="D18" s="12" t="str">
        <f t="shared" si="2"/>
        <v>AUG</v>
      </c>
      <c r="E18" s="12" t="s">
        <v>46</v>
      </c>
      <c r="F18" s="12" t="s">
        <v>55</v>
      </c>
      <c r="G18" s="12">
        <v>160</v>
      </c>
      <c r="H18" s="12">
        <v>15</v>
      </c>
      <c r="I18" s="12" t="s">
        <v>9</v>
      </c>
      <c r="J18" s="15" t="str">
        <f t="shared" si="3"/>
        <v>Standard price</v>
      </c>
      <c r="K18" s="1"/>
      <c r="L18" s="18" t="s">
        <v>105</v>
      </c>
      <c r="M18" s="19" t="s">
        <v>106</v>
      </c>
      <c r="N18" s="38" t="s">
        <v>107</v>
      </c>
    </row>
    <row r="19" spans="1:14" ht="15.75" customHeight="1" x14ac:dyDescent="0.25">
      <c r="A19" s="16" t="s">
        <v>56</v>
      </c>
      <c r="B19" s="12" t="str">
        <f t="shared" si="1"/>
        <v>27</v>
      </c>
      <c r="C19" s="12" t="str">
        <f t="shared" si="0"/>
        <v>IT</v>
      </c>
      <c r="D19" s="12" t="str">
        <f t="shared" si="2"/>
        <v>JAN</v>
      </c>
      <c r="E19" s="16" t="s">
        <v>7</v>
      </c>
      <c r="F19" s="16" t="s">
        <v>57</v>
      </c>
      <c r="G19" s="16">
        <v>980</v>
      </c>
      <c r="H19" s="16">
        <v>10</v>
      </c>
      <c r="I19" s="16" t="s">
        <v>9</v>
      </c>
      <c r="J19" s="16" t="str">
        <f t="shared" si="3"/>
        <v>High price</v>
      </c>
      <c r="K19" s="1"/>
      <c r="L19" s="7" t="s">
        <v>102</v>
      </c>
      <c r="M19" s="6" t="s">
        <v>127</v>
      </c>
      <c r="N19" s="33" t="str">
        <f>IF(G2&gt;=500,"High price","Standard price")</f>
        <v>High price</v>
      </c>
    </row>
    <row r="20" spans="1:14" ht="15.75" customHeight="1" thickBot="1" x14ac:dyDescent="0.3">
      <c r="A20" s="12" t="s">
        <v>58</v>
      </c>
      <c r="B20" s="12" t="str">
        <f t="shared" si="1"/>
        <v>01</v>
      </c>
      <c r="C20" s="12" t="str">
        <f t="shared" si="0"/>
        <v>UK</v>
      </c>
      <c r="D20" s="12" t="str">
        <f t="shared" si="2"/>
        <v>MAR</v>
      </c>
      <c r="E20" s="12" t="s">
        <v>59</v>
      </c>
      <c r="F20" s="12" t="s">
        <v>60</v>
      </c>
      <c r="G20" s="12">
        <v>150</v>
      </c>
      <c r="H20" s="12">
        <v>15</v>
      </c>
      <c r="I20" s="12" t="s">
        <v>13</v>
      </c>
      <c r="J20" s="15" t="str">
        <f t="shared" si="3"/>
        <v>Standard price</v>
      </c>
      <c r="K20" s="1"/>
      <c r="L20" s="9" t="s">
        <v>102</v>
      </c>
      <c r="M20" s="5" t="s">
        <v>128</v>
      </c>
      <c r="N20" s="39" t="str">
        <f>IF(G1&lt;=500,"High Price","Standard Price")</f>
        <v>Standard Price</v>
      </c>
    </row>
    <row r="21" spans="1:14" ht="15.75" customHeight="1" thickBot="1" x14ac:dyDescent="0.3">
      <c r="A21" s="16" t="s">
        <v>61</v>
      </c>
      <c r="B21" s="12" t="str">
        <f t="shared" si="1"/>
        <v>14</v>
      </c>
      <c r="C21" s="12" t="str">
        <f t="shared" si="0"/>
        <v>US</v>
      </c>
      <c r="D21" s="12" t="str">
        <f t="shared" si="2"/>
        <v>AUG</v>
      </c>
      <c r="E21" s="16" t="s">
        <v>62</v>
      </c>
      <c r="F21" s="16" t="s">
        <v>63</v>
      </c>
      <c r="G21" s="16">
        <v>200</v>
      </c>
      <c r="H21" s="16">
        <v>10</v>
      </c>
      <c r="I21" s="16" t="s">
        <v>24</v>
      </c>
      <c r="J21" s="16" t="str">
        <f t="shared" si="3"/>
        <v>Standard price</v>
      </c>
      <c r="K21" s="1"/>
      <c r="N21" s="36"/>
    </row>
    <row r="22" spans="1:14" ht="15.6" customHeight="1" thickBot="1" x14ac:dyDescent="0.35">
      <c r="A22" s="12" t="s">
        <v>64</v>
      </c>
      <c r="B22" s="12" t="str">
        <f t="shared" si="1"/>
        <v>14</v>
      </c>
      <c r="C22" s="12" t="str">
        <f t="shared" si="0"/>
        <v>RU</v>
      </c>
      <c r="D22" s="12" t="str">
        <f t="shared" si="2"/>
        <v>MAY</v>
      </c>
      <c r="E22" s="12" t="s">
        <v>65</v>
      </c>
      <c r="F22" s="12" t="s">
        <v>66</v>
      </c>
      <c r="G22" s="12">
        <v>700</v>
      </c>
      <c r="H22" s="12">
        <v>50</v>
      </c>
      <c r="I22" s="12" t="s">
        <v>9</v>
      </c>
      <c r="J22" s="15" t="str">
        <f t="shared" si="3"/>
        <v>High price</v>
      </c>
      <c r="K22" s="1"/>
      <c r="L22" s="26" t="s">
        <v>111</v>
      </c>
      <c r="M22" s="29"/>
      <c r="N22" s="37"/>
    </row>
    <row r="23" spans="1:14" ht="15.75" customHeight="1" thickBot="1" x14ac:dyDescent="0.3">
      <c r="A23" s="16" t="s">
        <v>67</v>
      </c>
      <c r="B23" s="12" t="str">
        <f t="shared" si="1"/>
        <v>09</v>
      </c>
      <c r="C23" s="12" t="str">
        <f t="shared" si="0"/>
        <v>CA</v>
      </c>
      <c r="D23" s="12" t="str">
        <f t="shared" si="2"/>
        <v>JAN</v>
      </c>
      <c r="E23" s="16" t="s">
        <v>68</v>
      </c>
      <c r="F23" s="16" t="s">
        <v>69</v>
      </c>
      <c r="G23" s="16">
        <v>80</v>
      </c>
      <c r="H23" s="16">
        <v>20</v>
      </c>
      <c r="I23" s="16" t="s">
        <v>17</v>
      </c>
      <c r="J23" s="16" t="str">
        <f t="shared" si="3"/>
        <v>Standard price</v>
      </c>
      <c r="K23" s="1"/>
      <c r="L23" s="18" t="s">
        <v>105</v>
      </c>
      <c r="M23" s="19" t="s">
        <v>106</v>
      </c>
      <c r="N23" s="38" t="s">
        <v>107</v>
      </c>
    </row>
    <row r="24" spans="1:14" ht="15.75" customHeight="1" x14ac:dyDescent="0.25">
      <c r="A24" s="12" t="s">
        <v>70</v>
      </c>
      <c r="B24" s="12" t="str">
        <f t="shared" si="1"/>
        <v>19</v>
      </c>
      <c r="C24" s="12" t="str">
        <f t="shared" si="0"/>
        <v>BR</v>
      </c>
      <c r="D24" s="12" t="str">
        <f t="shared" si="2"/>
        <v>JUL</v>
      </c>
      <c r="E24" s="12" t="s">
        <v>71</v>
      </c>
      <c r="F24" s="12" t="s">
        <v>72</v>
      </c>
      <c r="G24" s="12">
        <v>150</v>
      </c>
      <c r="H24" s="12">
        <v>30</v>
      </c>
      <c r="I24" s="12" t="s">
        <v>9</v>
      </c>
      <c r="J24" s="15" t="str">
        <f t="shared" si="3"/>
        <v>Standard price</v>
      </c>
      <c r="K24" s="1"/>
      <c r="L24" s="7" t="s">
        <v>112</v>
      </c>
      <c r="M24" s="13" t="s">
        <v>114</v>
      </c>
      <c r="N24" s="33">
        <f>SUMIF(I2:I35,"Electronics",G2:G35)</f>
        <v>8050</v>
      </c>
    </row>
    <row r="25" spans="1:14" ht="15.75" customHeight="1" thickBot="1" x14ac:dyDescent="0.3">
      <c r="A25" s="16" t="s">
        <v>50</v>
      </c>
      <c r="B25" s="12" t="str">
        <f t="shared" si="1"/>
        <v>21</v>
      </c>
      <c r="C25" s="12" t="str">
        <f t="shared" si="0"/>
        <v>CA</v>
      </c>
      <c r="D25" s="12" t="str">
        <f t="shared" si="2"/>
        <v>AUG</v>
      </c>
      <c r="E25" s="16" t="s">
        <v>51</v>
      </c>
      <c r="F25" s="16" t="s">
        <v>52</v>
      </c>
      <c r="G25" s="16">
        <v>50</v>
      </c>
      <c r="H25" s="16">
        <v>35</v>
      </c>
      <c r="I25" s="16" t="s">
        <v>53</v>
      </c>
      <c r="J25" s="16" t="str">
        <f t="shared" si="3"/>
        <v>Standard price</v>
      </c>
      <c r="K25" s="1"/>
      <c r="L25" s="9" t="s">
        <v>113</v>
      </c>
      <c r="M25" s="14" t="s">
        <v>115</v>
      </c>
      <c r="N25" s="39">
        <f>COUNTIF(G2:G35,"&lt;100")</f>
        <v>11</v>
      </c>
    </row>
    <row r="26" spans="1:14" ht="15.75" customHeight="1" thickBot="1" x14ac:dyDescent="0.3">
      <c r="A26" s="12" t="s">
        <v>73</v>
      </c>
      <c r="B26" s="12" t="str">
        <f t="shared" si="1"/>
        <v>29</v>
      </c>
      <c r="C26" s="12" t="str">
        <f t="shared" si="0"/>
        <v>CA</v>
      </c>
      <c r="D26" s="12" t="str">
        <f t="shared" si="2"/>
        <v>SEP</v>
      </c>
      <c r="E26" s="12" t="s">
        <v>19</v>
      </c>
      <c r="F26" s="12" t="s">
        <v>74</v>
      </c>
      <c r="G26" s="12">
        <v>800</v>
      </c>
      <c r="H26" s="12">
        <v>45</v>
      </c>
      <c r="I26" s="12" t="s">
        <v>9</v>
      </c>
      <c r="J26" s="15" t="str">
        <f t="shared" si="3"/>
        <v>High price</v>
      </c>
      <c r="K26" s="1"/>
      <c r="N26" s="30"/>
    </row>
    <row r="27" spans="1:14" ht="15.75" customHeight="1" thickBot="1" x14ac:dyDescent="0.35">
      <c r="A27" s="16" t="s">
        <v>75</v>
      </c>
      <c r="B27" s="12" t="str">
        <f t="shared" si="1"/>
        <v>03</v>
      </c>
      <c r="C27" s="12" t="str">
        <f t="shared" si="0"/>
        <v>CA</v>
      </c>
      <c r="D27" s="12" t="str">
        <f t="shared" si="2"/>
        <v>JUN</v>
      </c>
      <c r="E27" s="16" t="s">
        <v>59</v>
      </c>
      <c r="F27" s="16" t="s">
        <v>76</v>
      </c>
      <c r="G27" s="16">
        <v>130</v>
      </c>
      <c r="H27" s="16">
        <v>25</v>
      </c>
      <c r="I27" s="16" t="s">
        <v>13</v>
      </c>
      <c r="J27" s="16" t="str">
        <f t="shared" si="3"/>
        <v>Standard price</v>
      </c>
      <c r="K27" s="1"/>
      <c r="L27" s="26" t="s">
        <v>116</v>
      </c>
      <c r="M27" s="29"/>
      <c r="N27" s="31"/>
    </row>
    <row r="28" spans="1:14" ht="15.75" customHeight="1" thickBot="1" x14ac:dyDescent="0.3">
      <c r="A28" s="12" t="s">
        <v>77</v>
      </c>
      <c r="B28" s="12" t="str">
        <f t="shared" si="1"/>
        <v>11</v>
      </c>
      <c r="C28" s="12" t="str">
        <f t="shared" si="0"/>
        <v>CA</v>
      </c>
      <c r="D28" s="12" t="str">
        <f t="shared" si="2"/>
        <v>JUL</v>
      </c>
      <c r="E28" s="12" t="s">
        <v>32</v>
      </c>
      <c r="F28" s="12" t="s">
        <v>78</v>
      </c>
      <c r="G28" s="12">
        <v>400</v>
      </c>
      <c r="H28" s="12">
        <v>40</v>
      </c>
      <c r="I28" s="12" t="s">
        <v>17</v>
      </c>
      <c r="J28" s="15" t="str">
        <f t="shared" si="3"/>
        <v>Standard price</v>
      </c>
      <c r="K28" s="1"/>
      <c r="L28" s="18" t="s">
        <v>105</v>
      </c>
      <c r="M28" s="19" t="s">
        <v>106</v>
      </c>
      <c r="N28" s="32" t="s">
        <v>107</v>
      </c>
    </row>
    <row r="29" spans="1:14" ht="15.75" customHeight="1" x14ac:dyDescent="0.25">
      <c r="A29" s="16" t="s">
        <v>48</v>
      </c>
      <c r="B29" s="12" t="str">
        <f t="shared" si="1"/>
        <v>16</v>
      </c>
      <c r="C29" s="12" t="str">
        <f t="shared" si="0"/>
        <v>ES</v>
      </c>
      <c r="D29" s="12" t="str">
        <f t="shared" si="2"/>
        <v>APR</v>
      </c>
      <c r="E29" s="16" t="s">
        <v>26</v>
      </c>
      <c r="F29" s="16" t="s">
        <v>49</v>
      </c>
      <c r="G29" s="16">
        <v>230</v>
      </c>
      <c r="H29" s="16">
        <v>20</v>
      </c>
      <c r="I29" s="16" t="s">
        <v>9</v>
      </c>
      <c r="J29" s="16" t="str">
        <f t="shared" si="3"/>
        <v>Standard price</v>
      </c>
      <c r="K29" s="2"/>
      <c r="L29" s="7" t="s">
        <v>117</v>
      </c>
      <c r="M29" s="6" t="s">
        <v>124</v>
      </c>
      <c r="N29" s="24" t="str">
        <f>LEFT(A2,2)</f>
        <v>28</v>
      </c>
    </row>
    <row r="30" spans="1:14" ht="15.75" customHeight="1" x14ac:dyDescent="0.25">
      <c r="A30" s="12" t="s">
        <v>79</v>
      </c>
      <c r="B30" s="12" t="str">
        <f t="shared" si="1"/>
        <v>07</v>
      </c>
      <c r="C30" s="12" t="str">
        <f t="shared" si="0"/>
        <v>CA</v>
      </c>
      <c r="D30" s="12" t="str">
        <f t="shared" si="2"/>
        <v>MAR</v>
      </c>
      <c r="E30" s="12" t="s">
        <v>80</v>
      </c>
      <c r="F30" s="12" t="s">
        <v>81</v>
      </c>
      <c r="G30" s="12">
        <v>60</v>
      </c>
      <c r="H30" s="12">
        <v>30</v>
      </c>
      <c r="I30" s="12" t="s">
        <v>13</v>
      </c>
      <c r="J30" s="15" t="str">
        <f t="shared" si="3"/>
        <v>Standard price</v>
      </c>
      <c r="K30" s="1"/>
      <c r="L30" s="8" t="s">
        <v>118</v>
      </c>
      <c r="M30" s="4" t="s">
        <v>125</v>
      </c>
      <c r="N30" s="25" t="str">
        <f>RIGHT(A2,2)</f>
        <v>US</v>
      </c>
    </row>
    <row r="31" spans="1:14" ht="15.75" customHeight="1" thickBot="1" x14ac:dyDescent="0.3">
      <c r="A31" s="16" t="s">
        <v>82</v>
      </c>
      <c r="B31" s="12" t="str">
        <f t="shared" si="1"/>
        <v>13</v>
      </c>
      <c r="C31" s="12" t="str">
        <f t="shared" si="0"/>
        <v>CA</v>
      </c>
      <c r="D31" s="12" t="str">
        <f t="shared" si="2"/>
        <v>APR</v>
      </c>
      <c r="E31" s="16" t="s">
        <v>83</v>
      </c>
      <c r="F31" s="16" t="s">
        <v>84</v>
      </c>
      <c r="G31" s="16">
        <v>40</v>
      </c>
      <c r="H31" s="16">
        <v>10</v>
      </c>
      <c r="I31" s="16" t="s">
        <v>17</v>
      </c>
      <c r="J31" s="16" t="str">
        <f t="shared" si="3"/>
        <v>Standard price</v>
      </c>
      <c r="K31" s="1"/>
      <c r="L31" s="9" t="s">
        <v>119</v>
      </c>
      <c r="M31" s="21" t="s">
        <v>126</v>
      </c>
      <c r="N31" s="23" t="str">
        <f>MID(A2,4,3)</f>
        <v>JAN</v>
      </c>
    </row>
    <row r="32" spans="1:14" ht="15.75" customHeight="1" x14ac:dyDescent="0.25">
      <c r="A32" s="12" t="s">
        <v>85</v>
      </c>
      <c r="B32" s="12" t="str">
        <f t="shared" si="1"/>
        <v>24</v>
      </c>
      <c r="C32" s="12" t="str">
        <f t="shared" si="0"/>
        <v>CA</v>
      </c>
      <c r="D32" s="12" t="str">
        <f t="shared" si="2"/>
        <v>MAY</v>
      </c>
      <c r="E32" s="12" t="s">
        <v>71</v>
      </c>
      <c r="F32" s="12" t="s">
        <v>86</v>
      </c>
      <c r="G32" s="12">
        <v>130</v>
      </c>
      <c r="H32" s="12">
        <v>5</v>
      </c>
      <c r="I32" s="12" t="s">
        <v>9</v>
      </c>
      <c r="J32" s="15" t="str">
        <f t="shared" si="3"/>
        <v>Standard price</v>
      </c>
      <c r="K32" s="1"/>
    </row>
    <row r="33" spans="1:11" ht="15.75" customHeight="1" x14ac:dyDescent="0.25">
      <c r="A33" s="16" t="s">
        <v>87</v>
      </c>
      <c r="B33" s="12" t="str">
        <f t="shared" si="1"/>
        <v>02</v>
      </c>
      <c r="C33" s="12" t="str">
        <f t="shared" si="0"/>
        <v>CA</v>
      </c>
      <c r="D33" s="12" t="str">
        <f t="shared" si="2"/>
        <v>DEC</v>
      </c>
      <c r="E33" s="16" t="s">
        <v>88</v>
      </c>
      <c r="F33" s="16" t="s">
        <v>89</v>
      </c>
      <c r="G33" s="16">
        <v>50</v>
      </c>
      <c r="H33" s="16">
        <v>50</v>
      </c>
      <c r="I33" s="16" t="s">
        <v>13</v>
      </c>
      <c r="J33" s="16" t="str">
        <f t="shared" si="3"/>
        <v>Standard price</v>
      </c>
      <c r="K33" s="1"/>
    </row>
    <row r="34" spans="1:11" ht="15.75" customHeight="1" x14ac:dyDescent="0.25">
      <c r="A34" s="12" t="s">
        <v>40</v>
      </c>
      <c r="B34" s="12" t="str">
        <f t="shared" si="1"/>
        <v>17</v>
      </c>
      <c r="C34" s="12" t="str">
        <f t="shared" si="0"/>
        <v>IN</v>
      </c>
      <c r="D34" s="12" t="str">
        <f t="shared" si="2"/>
        <v>JUN</v>
      </c>
      <c r="E34" s="12" t="s">
        <v>7</v>
      </c>
      <c r="F34" s="12" t="s">
        <v>41</v>
      </c>
      <c r="G34" s="12">
        <v>950</v>
      </c>
      <c r="H34" s="12">
        <v>25</v>
      </c>
      <c r="I34" s="12" t="s">
        <v>9</v>
      </c>
      <c r="J34" s="15" t="str">
        <f t="shared" si="3"/>
        <v>High price</v>
      </c>
      <c r="K34" s="1"/>
    </row>
    <row r="35" spans="1:11" ht="15.75" customHeight="1" x14ac:dyDescent="0.25">
      <c r="A35" s="16" t="s">
        <v>90</v>
      </c>
      <c r="B35" s="12" t="str">
        <f t="shared" si="1"/>
        <v>09</v>
      </c>
      <c r="C35" s="12" t="str">
        <f t="shared" si="0"/>
        <v>FR</v>
      </c>
      <c r="D35" s="12" t="str">
        <f t="shared" si="2"/>
        <v>JUL</v>
      </c>
      <c r="E35" s="16" t="s">
        <v>91</v>
      </c>
      <c r="F35" s="16" t="s">
        <v>92</v>
      </c>
      <c r="G35" s="16">
        <v>100</v>
      </c>
      <c r="H35" s="16">
        <v>20</v>
      </c>
      <c r="I35" s="16" t="s">
        <v>53</v>
      </c>
      <c r="J35" s="16" t="str">
        <f t="shared" si="3"/>
        <v>Standard price</v>
      </c>
      <c r="K35" s="1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F7B2-14A9-4F5F-804B-BC32EE8431DA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EB7EA6-5693-412A-82ED-53E517951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</dc:creator>
  <cp:lastModifiedBy>usha rani</cp:lastModifiedBy>
  <dcterms:created xsi:type="dcterms:W3CDTF">2026-05-21T15:37:04Z</dcterms:created>
  <dcterms:modified xsi:type="dcterms:W3CDTF">2026-05-22T04:06:23Z</dcterms:modified>
</cp:coreProperties>
</file>